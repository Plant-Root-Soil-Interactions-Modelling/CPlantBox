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agdalena\Dumux_exudate\dumux\CPlantBox\tutorial\parameterization_exudatepaper\decay\data\"/>
    </mc:Choice>
  </mc:AlternateContent>
  <xr:revisionPtr revIDLastSave="0" documentId="13_ncr:9_{A81C4066-4BE4-4A15-9DA8-73B1810FD3FE}" xr6:coauthVersionLast="47" xr6:coauthVersionMax="47" xr10:uidLastSave="{00000000-0000-0000-0000-000000000000}"/>
  <bookViews>
    <workbookView xWindow="-25320" yWindow="-750" windowWidth="25440" windowHeight="15270" xr2:uid="{AB6049D2-82D2-4393-9133-08772EC1F633}"/>
  </bookViews>
  <sheets>
    <sheet name="Sheet1" sheetId="2" r:id="rId1"/>
    <sheet name="early_exudates" sheetId="1" r:id="rId2"/>
  </sheets>
  <calcPr calcId="0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2" i="1"/>
  <c r="D3" i="2"/>
  <c r="D4" i="2"/>
  <c r="D5" i="2"/>
  <c r="D6" i="2"/>
  <c r="D7" i="2"/>
  <c r="D8" i="2"/>
  <c r="D9" i="2"/>
  <c r="D10" i="2"/>
  <c r="D11" i="2"/>
  <c r="D12" i="2"/>
  <c r="D2" i="2"/>
  <c r="C3" i="2"/>
  <c r="C4" i="2"/>
  <c r="C5" i="2"/>
  <c r="C6" i="2"/>
  <c r="C7" i="2"/>
  <c r="C8" i="2"/>
  <c r="C9" i="2"/>
  <c r="C10" i="2"/>
  <c r="C11" i="2"/>
  <c r="C12" i="2"/>
  <c r="C2" i="2"/>
  <c r="B23" i="2"/>
  <c r="B22" i="2"/>
  <c r="B21" i="2"/>
</calcChain>
</file>

<file path=xl/sharedStrings.xml><?xml version="1.0" encoding="utf-8"?>
<sst xmlns="http://schemas.openxmlformats.org/spreadsheetml/2006/main" count="13" uniqueCount="13">
  <si>
    <t>Concentration,Decay</t>
  </si>
  <si>
    <t>microg C</t>
  </si>
  <si>
    <t xml:space="preserve">microg C /g soil / h </t>
  </si>
  <si>
    <t xml:space="preserve">soil </t>
  </si>
  <si>
    <t>g</t>
  </si>
  <si>
    <t>theta</t>
  </si>
  <si>
    <t>g/g</t>
  </si>
  <si>
    <t>water</t>
  </si>
  <si>
    <t>g or cm^3</t>
  </si>
  <si>
    <t>microg_to_mol</t>
  </si>
  <si>
    <t>gsoil_to_cm^3water</t>
  </si>
  <si>
    <t>mol C / cm^3 water</t>
  </si>
  <si>
    <t>mol C / cm^3 water /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</si>
</sst>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F45-ED98-4F4B-A83D-8B0FD26AA2D4}">
  <dimension ref="A1:D23"/>
  <sheetViews>
    <sheetView tabSelected="1" workbookViewId="0">
      <selection activeCell="C33" sqref="C33"/>
    </sheetView>
  </sheetViews>
  <sheetFormatPr defaultRowHeight="14.5" x14ac:dyDescent="0.35"/>
  <cols>
    <col min="1" max="1" width="18.7265625" customWidth="1"/>
    <col min="2" max="2" width="17.90625" customWidth="1"/>
    <col min="3" max="3" width="17.6328125" customWidth="1"/>
    <col min="4" max="4" width="11.81640625" bestFit="1" customWidth="1"/>
  </cols>
  <sheetData>
    <row r="1" spans="1:4" x14ac:dyDescent="0.35">
      <c r="A1" t="s">
        <v>1</v>
      </c>
      <c r="B1" t="s">
        <v>2</v>
      </c>
      <c r="C1" t="s">
        <v>11</v>
      </c>
      <c r="D1" t="s">
        <v>12</v>
      </c>
    </row>
    <row r="2" spans="1:4" x14ac:dyDescent="0.35">
      <c r="A2">
        <v>37.5</v>
      </c>
      <c r="B2">
        <v>0.61662809963627097</v>
      </c>
      <c r="C2">
        <f>A2*$B$22/$B$21</f>
        <v>3.4690422668109794E-6</v>
      </c>
      <c r="D2">
        <f>B2*$B$22/$B$23*24</f>
        <v>4.1070891658397879E-6</v>
      </c>
    </row>
    <row r="3" spans="1:4" x14ac:dyDescent="0.35">
      <c r="A3">
        <v>42.499877929687301</v>
      </c>
      <c r="B3">
        <v>0.53348722086617495</v>
      </c>
      <c r="C3">
        <f t="shared" ref="C3:C12" si="0">A3*$B$22/$B$21</f>
        <v>3.9315699432637962E-6</v>
      </c>
      <c r="D3">
        <f t="shared" ref="D3:D12" si="1">B3*$B$22/$B$23*24</f>
        <v>3.5533242585375072E-6</v>
      </c>
    </row>
    <row r="4" spans="1:4" x14ac:dyDescent="0.35">
      <c r="A4">
        <v>102.499877929687</v>
      </c>
      <c r="B4">
        <v>0.68591224985329302</v>
      </c>
      <c r="C4">
        <f t="shared" si="0"/>
        <v>9.4820375701613358E-6</v>
      </c>
      <c r="D4">
        <f t="shared" si="1"/>
        <v>4.5685604852438137E-6</v>
      </c>
    </row>
    <row r="5" spans="1:4" x14ac:dyDescent="0.35">
      <c r="A5">
        <v>99.999938964843693</v>
      </c>
      <c r="B5">
        <v>0.90762117533160702</v>
      </c>
      <c r="C5">
        <f t="shared" si="0"/>
        <v>9.2507737319349585E-6</v>
      </c>
      <c r="D5">
        <f t="shared" si="1"/>
        <v>6.045266341397766E-6</v>
      </c>
    </row>
    <row r="6" spans="1:4" x14ac:dyDescent="0.35">
      <c r="A6">
        <v>45</v>
      </c>
      <c r="B6">
        <v>0.99076205410170404</v>
      </c>
      <c r="C6">
        <f t="shared" si="0"/>
        <v>4.1628507201731754E-6</v>
      </c>
      <c r="D6">
        <f t="shared" si="1"/>
        <v>6.5990312487000529E-6</v>
      </c>
    </row>
    <row r="7" spans="1:4" x14ac:dyDescent="0.35">
      <c r="A7">
        <v>402.49987792968699</v>
      </c>
      <c r="B7">
        <v>2.2309469982395198</v>
      </c>
      <c r="C7">
        <f t="shared" si="0"/>
        <v>3.7234375704649171E-5</v>
      </c>
      <c r="D7">
        <f t="shared" si="1"/>
        <v>1.485935890926331E-5</v>
      </c>
    </row>
    <row r="8" spans="1:4" x14ac:dyDescent="0.35">
      <c r="A8">
        <v>402.49987792968699</v>
      </c>
      <c r="B8">
        <v>2.4595842879943701</v>
      </c>
      <c r="C8">
        <f t="shared" si="0"/>
        <v>3.7234375704649171E-5</v>
      </c>
      <c r="D8">
        <f t="shared" si="1"/>
        <v>1.6382211559366383E-5</v>
      </c>
    </row>
    <row r="9" spans="1:4" x14ac:dyDescent="0.35">
      <c r="A9">
        <v>402.49987792968699</v>
      </c>
      <c r="B9">
        <v>2.90300239267683</v>
      </c>
      <c r="C9">
        <f t="shared" si="0"/>
        <v>3.7234375704649171E-5</v>
      </c>
      <c r="D9">
        <f t="shared" si="1"/>
        <v>1.9335624961630709E-5</v>
      </c>
    </row>
    <row r="10" spans="1:4" x14ac:dyDescent="0.35">
      <c r="A10">
        <v>1604.9998168945301</v>
      </c>
      <c r="B10">
        <v>2.1824480677150202</v>
      </c>
      <c r="C10">
        <f t="shared" si="0"/>
        <v>1.4847499208082689E-4</v>
      </c>
      <c r="D10">
        <f t="shared" si="1"/>
        <v>1.4536328816684843E-5</v>
      </c>
    </row>
    <row r="11" spans="1:4" x14ac:dyDescent="0.35">
      <c r="A11">
        <v>1602.5000610351501</v>
      </c>
      <c r="B11">
        <v>2.0785219692524</v>
      </c>
      <c r="C11">
        <f t="shared" si="0"/>
        <v>1.4824374518128291E-4</v>
      </c>
      <c r="D11">
        <f t="shared" si="1"/>
        <v>1.3844122682556989E-5</v>
      </c>
    </row>
    <row r="12" spans="1:4" x14ac:dyDescent="0.35">
      <c r="A12">
        <v>1607.4999389648401</v>
      </c>
      <c r="B12">
        <v>1.98152436192923</v>
      </c>
      <c r="C12">
        <f t="shared" si="0"/>
        <v>1.4870627285773599E-4</v>
      </c>
      <c r="D12">
        <f t="shared" si="1"/>
        <v>1.3198064187356457E-5</v>
      </c>
    </row>
    <row r="19" spans="1:3" x14ac:dyDescent="0.35">
      <c r="A19" t="s">
        <v>3</v>
      </c>
      <c r="B19">
        <v>3</v>
      </c>
      <c r="C19" t="s">
        <v>4</v>
      </c>
    </row>
    <row r="20" spans="1:3" x14ac:dyDescent="0.35">
      <c r="A20" t="s">
        <v>5</v>
      </c>
      <c r="B20">
        <v>0.3</v>
      </c>
      <c r="C20" t="s">
        <v>6</v>
      </c>
    </row>
    <row r="21" spans="1:3" x14ac:dyDescent="0.35">
      <c r="A21" t="s">
        <v>7</v>
      </c>
      <c r="B21">
        <f>B20*B19</f>
        <v>0.89999999999999991</v>
      </c>
      <c r="C21" t="s">
        <v>8</v>
      </c>
    </row>
    <row r="22" spans="1:3" x14ac:dyDescent="0.35">
      <c r="A22" t="s">
        <v>9</v>
      </c>
      <c r="B22">
        <f>1/12.011*0.000001</f>
        <v>8.3257014403463498E-8</v>
      </c>
    </row>
    <row r="23" spans="1:3" x14ac:dyDescent="0.35">
      <c r="A23" t="s">
        <v>10</v>
      </c>
      <c r="B23">
        <f>B20</f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E646D-1812-4159-B9AB-35D7F4C104EA}">
  <dimension ref="A1:A12"/>
  <sheetViews>
    <sheetView workbookViewId="0">
      <selection activeCell="K17" sqref="K1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tr">
        <f>Sheet1!C2&amp;","&amp;Sheet1!D2</f>
        <v>3.46904226681098E-06,4.10708916583979E-06</v>
      </c>
    </row>
    <row r="3" spans="1:1" x14ac:dyDescent="0.35">
      <c r="A3" t="str">
        <f>Sheet1!C3&amp;","&amp;Sheet1!D3</f>
        <v>3.9315699432638E-06,3.55332425853751E-06</v>
      </c>
    </row>
    <row r="4" spans="1:1" x14ac:dyDescent="0.35">
      <c r="A4" t="str">
        <f>Sheet1!C4&amp;","&amp;Sheet1!D4</f>
        <v>9.48203757016134E-06,4.56856048524381E-06</v>
      </c>
    </row>
    <row r="5" spans="1:1" x14ac:dyDescent="0.35">
      <c r="A5" t="str">
        <f>Sheet1!C5&amp;","&amp;Sheet1!D5</f>
        <v>9.25077373193496E-06,6.04526634139777E-06</v>
      </c>
    </row>
    <row r="6" spans="1:1" x14ac:dyDescent="0.35">
      <c r="A6" t="str">
        <f>Sheet1!C6&amp;","&amp;Sheet1!D6</f>
        <v>4.16285072017318E-06,6.59903124870005E-06</v>
      </c>
    </row>
    <row r="7" spans="1:1" x14ac:dyDescent="0.35">
      <c r="A7" t="str">
        <f>Sheet1!C7&amp;","&amp;Sheet1!D7</f>
        <v>3.72343757046492E-05,1.48593589092633E-05</v>
      </c>
    </row>
    <row r="8" spans="1:1" x14ac:dyDescent="0.35">
      <c r="A8" t="str">
        <f>Sheet1!C8&amp;","&amp;Sheet1!D8</f>
        <v>3.72343757046492E-05,1.63822115593664E-05</v>
      </c>
    </row>
    <row r="9" spans="1:1" x14ac:dyDescent="0.35">
      <c r="A9" t="str">
        <f>Sheet1!C9&amp;","&amp;Sheet1!D9</f>
        <v>3.72343757046492E-05,1.93356249616307E-05</v>
      </c>
    </row>
    <row r="10" spans="1:1" x14ac:dyDescent="0.35">
      <c r="A10" t="str">
        <f>Sheet1!C10&amp;","&amp;Sheet1!D10</f>
        <v>0.000148474992080827,1.45363288166848E-05</v>
      </c>
    </row>
    <row r="11" spans="1:1" x14ac:dyDescent="0.35">
      <c r="A11" t="str">
        <f>Sheet1!C11&amp;","&amp;Sheet1!D11</f>
        <v>0.000148243745181283,0.000013844122682557</v>
      </c>
    </row>
    <row r="12" spans="1:1" x14ac:dyDescent="0.35">
      <c r="A12" t="str">
        <f>Sheet1!C12&amp;","&amp;Sheet1!D12</f>
        <v>0.000148706272857736,1.31980641873565E-05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early_exudates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Landl, Magdalena</cp:lastModifiedBy>
  <dcterms:created xsi:type="dcterms:W3CDTF">2026-05-27T08:33:28Z</dcterms:created>
  <dcterms:modified xsi:type="dcterms:W3CDTF">2026-05-27T08:37:53Z</dcterms:modified>
</cp:coreProperties>
</file>